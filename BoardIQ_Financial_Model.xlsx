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Unit Econom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<sst xmlns="http://schemas.openxmlformats.org/spreadsheetml/2006/main" count="105" uniqueCount="90">
  <si>
    <t xml:space="preserve">BoardIQ — Financial Model Assumptions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</si>
  <si>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</si>
  <si>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</si>
  <si>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</si>
  <si>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</si>
  <si>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</si>
  <si>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Building Growth</t>
  </si>
  <si>
    <t xml:space="preserve">Buildings (end of year)</t>
  </si>
  <si>
    <t xml:space="preserve">New buildings added</t>
  </si>
  <si>
    <t xml:space="preserve">Building monthly fee</t>
  </si>
  <si>
    <t xml:space="preserve">Building annual churn rate</t>
  </si>
  <si>
    <t xml:space="preserve">Vendor Growth</t>
  </si>
  <si>
    <t xml:space="preserve">Vendors (end of year)</t>
  </si>
  <si>
    <t xml:space="preserve">Vendor annual fee</t>
  </si>
  <si>
    <t xml:space="preserve">Vendor annual churn rate</t>
  </si>
  <si>
    <t xml:space="preserve">Infrastructure (Monthly)</t>
  </si>
  <si>
    <t xml:space="preserve">Hosting (Railway/AWS)</t>
  </si>
  <si>
    <t xml:space="preserve">PostgreSQL</t>
  </si>
  <si>
    <t xml:space="preserve">S3 file storage</t>
  </si>
  <si>
    <t xml:space="preserve">Anthropic API (Claude)</t>
  </si>
  <si>
    <t xml:space="preserve">Email (SendGrid)</t>
  </si>
  <si>
    <t xml:space="preserve">Domain + SSL</t>
  </si>
  <si>
    <t xml:space="preserve">Monitoring / logging</t>
  </si>
  <si>
    <t xml:space="preserve">Total monthly infra</t>
  </si>
  <si>
    <t xml:space="preserve">People (Annual Salary / Cost)</t>
  </si>
  <si>
    <t xml:space="preserve">AI-assisted developer (contract)</t>
  </si>
  <si>
    <t xml:space="preserve">Founder salary</t>
  </si>
  <si>
    <t xml:space="preserve">Sales / BD (part-time → full)</t>
  </si>
  <si>
    <t xml:space="preserve">Customer success</t>
  </si>
  <si>
    <t xml:space="preserve">Total annual people cost</t>
  </si>
  <si>
    <t xml:space="preserve">BoardIQ — 5-Year Profit &amp; Loss</t>
  </si>
  <si>
    <t xml:space="preserve">Revenue</t>
  </si>
  <si>
    <t xml:space="preserve">Building revenue (monthly × 12)</t>
  </si>
  <si>
    <t xml:space="preserve">Less: building churn</t>
  </si>
  <si>
    <t xml:space="preserve">Net building revenue</t>
  </si>
  <si>
    <t xml:space="preserve">Vendor revenue (annual fee)</t>
  </si>
  <si>
    <t xml:space="preserve">Less: vendor churn</t>
  </si>
  <si>
    <t xml:space="preserve">Net vendor revenue</t>
  </si>
  <si>
    <t xml:space="preserve">Total Revenue</t>
  </si>
  <si>
    <t xml:space="preserve">Costs</t>
  </si>
  <si>
    <t xml:space="preserve">Infrastructure (annual)</t>
  </si>
  <si>
    <t xml:space="preserve">People costs</t>
  </si>
  <si>
    <t xml:space="preserve">Software / tools</t>
  </si>
  <si>
    <t xml:space="preserve">Legal / accounting</t>
  </si>
  <si>
    <t xml:space="preserve">Marketing / sales</t>
  </si>
  <si>
    <t xml:space="preserve">Total Costs</t>
  </si>
  <si>
    <t xml:space="preserve">Profitability</t>
  </si>
  <si>
    <t xml:space="preserve">Gross Profit</t>
  </si>
  <si>
    <t xml:space="preserve">Gross Margin</t>
  </si>
  <si>
    <t xml:space="preserve">Cumulative P&amp;L</t>
  </si>
  <si>
    <t xml:space="preserve">Key Metrics</t>
  </si>
  <si>
    <t xml:space="preserve">Revenue per building (annual)</t>
  </si>
  <si>
    <t xml:space="preserve">Cost per building (annual)</t>
  </si>
  <si>
    <t xml:space="preserve">LTV per building (3yr, no churn adj)</t>
  </si>
  <si>
    <t xml:space="preserve">CAC estimate</t>
  </si>
  <si>
    <t xml:space="preserve">LTV / CAC</t>
  </si>
  <si>
    <t xml:space="preserve">Monthly burn rate</t>
  </si>
  <si>
    <t xml:space="preserve">Months of runway (if break-even)</t>
  </si>
  <si>
    <t xml:space="preserve">BoardIQ — Unit Economics at 500 Buildings</t>
  </si>
  <si>
    <t xml:space="preserve">Metric</t>
  </si>
  <si>
    <t xml:space="preserve">Monthly</t>
  </si>
  <si>
    <t xml:space="preserve">Annual</t>
  </si>
  <si>
    <t xml:space="preserve">Buildings</t>
  </si>
  <si>
    <t xml:space="preserve">Monthly fee per building</t>
  </si>
  <si>
    <t xml:space="preserve">Building MRR</t>
  </si>
  <si>
    <t xml:space="preserve">Vendors</t>
  </si>
  <si>
    <t xml:space="preserve">Annual fee per vendor</t>
  </si>
  <si>
    <t xml:space="preserve">Vendor MRR (annual / 12)</t>
  </si>
  <si>
    <t xml:space="preserve">Total MRR</t>
  </si>
  <si>
    <t xml:space="preserve">Total ARR</t>
  </si>
  <si>
    <t xml:space="preserve">Costs at 500 Buildings</t>
  </si>
  <si>
    <t xml:space="preserve">Hosting</t>
  </si>
  <si>
    <t xml:space="preserve">S3 storage</t>
  </si>
  <si>
    <t xml:space="preserve">Anthropic API</t>
  </si>
  <si>
    <t xml:space="preserve">Monitoring</t>
  </si>
  <si>
    <t xml:space="preserve">Total infrastructure</t>
  </si>
  <si>
    <t xml:space="preserve">People (Year 5)</t>
  </si>
  <si>
    <t xml:space="preserve">Developer (AI-assisted)</t>
  </si>
  <si>
    <t xml:space="preserve">Founder</t>
  </si>
  <si>
    <t xml:space="preserve">Sales / BD</t>
  </si>
  <si>
    <t xml:space="preserve">Total people</t>
  </si>
  <si>
    <t xml:space="preserve">Other Costs</t>
  </si>
  <si>
    <t xml:space="preserve">Total other</t>
  </si>
  <si>
    <t xml:space="preserve">Summary at Scale (500 Buildings)</t>
  </si>
  <si>
    <t xml:space="preserve">Net Profit</t>
  </si>
  <si>
    <t xml:space="preserve">Net Margin</t>
  </si>
  <si>
    <t xml:space="preserve">Infra cost per building</t>
  </si>
  <si>
    <t xml:space="preserve">Total cost per building</t>
  </si>
  <si>
    <t xml:space="preserve">Revenue per building</t>
  </si>
  <si>
    <t xml:space="preserve">Profit per building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</si>
</sst>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0.0%"/>
    <numFmt numFmtId="168" formatCode="0.0\x"/>
    <numFmt numFmtId="169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234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A234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A2342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2342"/>
        <bgColor rgb="FF003300"/>
      </patternFill>
    </fill>
    <fill>
      <patternFill patternType="solid">
        <fgColor rgb="FFFFFFF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34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5" customFormat="false" ht="15" hidden="false" customHeight="false" outlineLevel="0" collapsed="false">
      <c r="A5" s="3" t="s">
        <v>6</v>
      </c>
    </row>
    <row r="6" customFormat="false" ht="15" hidden="false" customHeight="false" outlineLevel="0" collapsed="false">
      <c r="A6" s="4" t="s">
        <v>7</v>
      </c>
      <c r="B6" s="5" t="n">
        <v>50</v>
      </c>
      <c r="C6" s="5" t="n">
        <v>125</v>
      </c>
      <c r="D6" s="5" t="n">
        <v>250</v>
      </c>
      <c r="E6" s="5" t="n">
        <v>400</v>
      </c>
      <c r="F6" s="5" t="n">
        <v>500</v>
      </c>
    </row>
    <row r="7" customFormat="false" ht="15" hidden="false" customHeight="false" outlineLevel="0" collapsed="false">
      <c r="A7" s="4" t="s">
        <v>8</v>
      </c>
      <c r="B7" s="6" t="n">
        <f aca="false">B6</f>
        <v>50</v>
      </c>
      <c r="C7" s="6" t="n">
        <f aca="false">C6-B6</f>
        <v>75</v>
      </c>
      <c r="D7" s="6" t="n">
        <f aca="false">D6-C6</f>
        <v>125</v>
      </c>
      <c r="E7" s="6" t="n">
        <f aca="false">E6-D6</f>
        <v>150</v>
      </c>
      <c r="F7" s="6" t="n">
        <f aca="false">F6-E6</f>
        <v>100</v>
      </c>
    </row>
    <row r="8" customFormat="false" ht="15" hidden="false" customHeight="false" outlineLevel="0" collapsed="false">
      <c r="A8" s="4" t="s">
        <v>9</v>
      </c>
      <c r="B8" s="7" t="n">
        <v>50</v>
      </c>
      <c r="C8" s="7" t="n">
        <v>50</v>
      </c>
      <c r="D8" s="7" t="n">
        <v>50</v>
      </c>
      <c r="E8" s="7" t="n">
        <v>50</v>
      </c>
      <c r="F8" s="7" t="n">
        <v>50</v>
      </c>
    </row>
    <row r="9" customFormat="false" ht="15" hidden="false" customHeight="false" outlineLevel="0" collapsed="false">
      <c r="A9" s="4" t="s">
        <v>10</v>
      </c>
      <c r="B9" s="8" t="n">
        <v>0.05</v>
      </c>
      <c r="C9" s="8" t="n">
        <v>0.05</v>
      </c>
      <c r="D9" s="8" t="n">
        <v>0.08</v>
      </c>
      <c r="E9" s="8" t="n">
        <v>0.08</v>
      </c>
      <c r="F9" s="8" t="n">
        <v>0.1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4" t="s">
        <v>12</v>
      </c>
      <c r="B12" s="5" t="n">
        <v>15</v>
      </c>
      <c r="C12" s="5" t="n">
        <v>25</v>
      </c>
      <c r="D12" s="5" t="n">
        <v>50</v>
      </c>
      <c r="E12" s="5" t="n">
        <v>75</v>
      </c>
      <c r="F12" s="5" t="n">
        <v>100</v>
      </c>
    </row>
    <row r="13" customFormat="false" ht="15" hidden="false" customHeight="false" outlineLevel="0" collapsed="false">
      <c r="A13" s="4" t="s">
        <v>13</v>
      </c>
      <c r="B13" s="7" t="n">
        <v>250</v>
      </c>
      <c r="C13" s="7" t="n">
        <v>250</v>
      </c>
      <c r="D13" s="7" t="n">
        <v>250</v>
      </c>
      <c r="E13" s="7" t="n">
        <v>250</v>
      </c>
      <c r="F13" s="7" t="n">
        <v>250</v>
      </c>
    </row>
    <row r="14" customFormat="false" ht="15" hidden="false" customHeight="false" outlineLevel="0" collapsed="false">
      <c r="A14" s="4" t="s">
        <v>14</v>
      </c>
      <c r="B14" s="8" t="n">
        <v>0.1</v>
      </c>
      <c r="C14" s="8" t="n">
        <v>0.1</v>
      </c>
      <c r="D14" s="8" t="n">
        <v>0.1</v>
      </c>
      <c r="E14" s="8" t="n">
        <v>0.1</v>
      </c>
      <c r="F14" s="8" t="n">
        <v>0.1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4" t="s">
        <v>16</v>
      </c>
      <c r="B18" s="7" t="n">
        <v>25</v>
      </c>
      <c r="C18" s="7" t="n">
        <v>50</v>
      </c>
      <c r="D18" s="7" t="n">
        <v>100</v>
      </c>
      <c r="E18" s="7" t="n">
        <v>150</v>
      </c>
      <c r="F18" s="7" t="n">
        <v>200</v>
      </c>
    </row>
    <row r="19" customFormat="false" ht="15" hidden="false" customHeight="false" outlineLevel="0" collapsed="false">
      <c r="A19" s="4" t="s">
        <v>17</v>
      </c>
      <c r="B19" s="7" t="n">
        <v>10</v>
      </c>
      <c r="C19" s="7" t="n">
        <v>25</v>
      </c>
      <c r="D19" s="7" t="n">
        <v>50</v>
      </c>
      <c r="E19" s="7" t="n">
        <v>75</v>
      </c>
      <c r="F19" s="7" t="n">
        <v>100</v>
      </c>
    </row>
    <row r="20" customFormat="false" ht="15" hidden="false" customHeight="false" outlineLevel="0" collapsed="false">
      <c r="A20" s="4" t="s">
        <v>18</v>
      </c>
      <c r="B20" s="7" t="n">
        <v>5</v>
      </c>
      <c r="C20" s="7" t="n">
        <v>10</v>
      </c>
      <c r="D20" s="7" t="n">
        <v>20</v>
      </c>
      <c r="E20" s="7" t="n">
        <v>30</v>
      </c>
      <c r="F20" s="7" t="n">
        <v>40</v>
      </c>
    </row>
    <row r="21" customFormat="false" ht="15" hidden="false" customHeight="false" outlineLevel="0" collapsed="false">
      <c r="A21" s="4" t="s">
        <v>19</v>
      </c>
      <c r="B21" s="7" t="n">
        <v>30</v>
      </c>
      <c r="C21" s="7" t="n">
        <v>80</v>
      </c>
      <c r="D21" s="7" t="n">
        <v>200</v>
      </c>
      <c r="E21" s="7" t="n">
        <v>350</v>
      </c>
      <c r="F21" s="7" t="n">
        <v>500</v>
      </c>
    </row>
    <row r="22" customFormat="false" ht="15" hidden="false" customHeight="false" outlineLevel="0" collapsed="false">
      <c r="A22" s="4" t="s">
        <v>20</v>
      </c>
      <c r="B22" s="7" t="n">
        <v>0</v>
      </c>
      <c r="C22" s="7" t="n">
        <v>15</v>
      </c>
      <c r="D22" s="7" t="n">
        <v>20</v>
      </c>
      <c r="E22" s="7" t="n">
        <v>25</v>
      </c>
      <c r="F22" s="7" t="n">
        <v>30</v>
      </c>
    </row>
    <row r="23" customFormat="false" ht="15" hidden="false" customHeight="false" outlineLevel="0" collapsed="false">
      <c r="A23" s="4" t="s">
        <v>21</v>
      </c>
      <c r="B23" s="7" t="n">
        <v>1</v>
      </c>
      <c r="C23" s="7" t="n">
        <v>1</v>
      </c>
      <c r="D23" s="7" t="n">
        <v>1</v>
      </c>
      <c r="E23" s="7" t="n">
        <v>1</v>
      </c>
      <c r="F23" s="7" t="n">
        <v>1</v>
      </c>
    </row>
    <row r="24" customFormat="false" ht="15" hidden="false" customHeight="false" outlineLevel="0" collapsed="false">
      <c r="A24" s="4" t="s">
        <v>22</v>
      </c>
      <c r="B24" s="7" t="n">
        <v>0</v>
      </c>
      <c r="C24" s="7" t="n">
        <v>10</v>
      </c>
      <c r="D24" s="7" t="n">
        <v>25</v>
      </c>
      <c r="E24" s="7" t="n">
        <v>40</v>
      </c>
      <c r="F24" s="7" t="n">
        <v>50</v>
      </c>
    </row>
    <row r="25" customFormat="false" ht="15" hidden="false" customHeight="false" outlineLevel="0" collapsed="false">
      <c r="A25" s="9" t="s">
        <v>23</v>
      </c>
      <c r="B25" s="10" t="n">
        <f aca="false">SUM(B18:B24)</f>
        <v>71</v>
      </c>
      <c r="C25" s="10" t="n">
        <f aca="false">SUM(C18:C24)</f>
        <v>191</v>
      </c>
      <c r="D25" s="10" t="n">
        <f aca="false">SUM(D18:D24)</f>
        <v>416</v>
      </c>
      <c r="E25" s="10" t="n">
        <f aca="false">SUM(E18:E24)</f>
        <v>671</v>
      </c>
      <c r="F25" s="10" t="n">
        <f aca="false">SUM(F18:F24)</f>
        <v>921</v>
      </c>
    </row>
    <row r="27" customFormat="false" ht="15" hidden="false" customHeight="false" outlineLevel="0" collapsed="false">
      <c r="A27" s="3" t="s">
        <v>24</v>
      </c>
    </row>
    <row r="28" customFormat="false" ht="15" hidden="false" customHeight="false" outlineLevel="0" collapsed="false">
      <c r="A28" s="4" t="s">
        <v>25</v>
      </c>
      <c r="B28" s="7" t="n">
        <v>0</v>
      </c>
      <c r="C28" s="7" t="n">
        <v>60000</v>
      </c>
      <c r="D28" s="7" t="n">
        <v>90000</v>
      </c>
      <c r="E28" s="7" t="n">
        <v>90000</v>
      </c>
      <c r="F28" s="7" t="n">
        <v>120000</v>
      </c>
    </row>
    <row r="29" customFormat="false" ht="15" hidden="false" customHeight="false" outlineLevel="0" collapsed="false">
      <c r="A29" s="4" t="s">
        <v>26</v>
      </c>
      <c r="B29" s="7" t="n">
        <v>0</v>
      </c>
      <c r="C29" s="7" t="n">
        <v>0</v>
      </c>
      <c r="D29" s="7" t="n">
        <v>60000</v>
      </c>
      <c r="E29" s="7" t="n">
        <v>80000</v>
      </c>
      <c r="F29" s="7" t="n">
        <v>100000</v>
      </c>
    </row>
    <row r="30" customFormat="false" ht="15" hidden="false" customHeight="false" outlineLevel="0" collapsed="false">
      <c r="A30" s="4" t="s">
        <v>27</v>
      </c>
      <c r="B30" s="7" t="n">
        <v>0</v>
      </c>
      <c r="C30" s="7" t="n">
        <v>0</v>
      </c>
      <c r="D30" s="7" t="n">
        <v>40000</v>
      </c>
      <c r="E30" s="7" t="n">
        <v>70000</v>
      </c>
      <c r="F30" s="7" t="n">
        <v>85000</v>
      </c>
    </row>
    <row r="31" customFormat="false" ht="15" hidden="false" customHeight="false" outlineLevel="0" collapsed="false">
      <c r="A31" s="4" t="s">
        <v>28</v>
      </c>
      <c r="B31" s="7" t="n">
        <v>0</v>
      </c>
      <c r="C31" s="7" t="n">
        <v>0</v>
      </c>
      <c r="D31" s="7" t="n">
        <v>0</v>
      </c>
      <c r="E31" s="7" t="n">
        <v>50000</v>
      </c>
      <c r="F31" s="7" t="n">
        <v>55000</v>
      </c>
    </row>
    <row r="32" customFormat="false" ht="15" hidden="false" customHeight="false" outlineLevel="0" collapsed="false">
      <c r="A32" s="9" t="s">
        <v>29</v>
      </c>
      <c r="B32" s="10" t="n">
        <f aca="false">SUM(B28:B31)</f>
        <v>0</v>
      </c>
      <c r="C32" s="10" t="n">
        <f aca="false">SUM(C28:C31)</f>
        <v>60000</v>
      </c>
      <c r="D32" s="10" t="n">
        <f aca="false">SUM(D28:D31)</f>
        <v>190000</v>
      </c>
      <c r="E32" s="10" t="n">
        <f aca="false">SUM(E28:E31)</f>
        <v>290000</v>
      </c>
      <c r="F32" s="10" t="n">
        <f aca="false">SUM(F28:F31)</f>
        <v>360000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5" customFormat="false" ht="15" hidden="false" customHeight="false" outlineLevel="0" collapsed="false">
      <c r="A5" s="3" t="s">
        <v>31</v>
      </c>
    </row>
    <row r="6" customFormat="false" ht="15" hidden="false" customHeight="false" outlineLevel="0" collapsed="false">
      <c r="A6" s="4" t="s">
        <v>32</v>
      </c>
      <c r="B6" s="11" t="n">
        <f aca="false">(Assumptions!B6/2)*Assumptions!B8*12</f>
        <v>15000</v>
      </c>
      <c r="C6" s="11" t="n">
        <f aca="false">((Assumptions!B6+Assumptions!C6)/2)*Assumptions!C8*12</f>
        <v>52500</v>
      </c>
      <c r="D6" s="11" t="n">
        <f aca="false">((Assumptions!C6+Assumptions!D6)/2)*Assumptions!D8*12</f>
        <v>112500</v>
      </c>
      <c r="E6" s="11" t="n">
        <f aca="false">((Assumptions!D6+Assumptions!E6)/2)*Assumptions!E8*12</f>
        <v>195000</v>
      </c>
      <c r="F6" s="11" t="n">
        <f aca="false">((Assumptions!E6+Assumptions!F6)/2)*Assumptions!F8*12</f>
        <v>270000</v>
      </c>
    </row>
    <row r="7" customFormat="false" ht="15" hidden="false" customHeight="false" outlineLevel="0" collapsed="false">
      <c r="A7" s="4" t="s">
        <v>33</v>
      </c>
      <c r="B7" s="11" t="n">
        <f aca="false">-B6*Assumptions!B9</f>
        <v>-750</v>
      </c>
      <c r="C7" s="11" t="n">
        <f aca="false">-C6*Assumptions!C9</f>
        <v>-2625</v>
      </c>
      <c r="D7" s="11" t="n">
        <f aca="false">-D6*Assumptions!D9</f>
        <v>-9000</v>
      </c>
      <c r="E7" s="11" t="n">
        <f aca="false">-E6*Assumptions!E9</f>
        <v>-15600</v>
      </c>
      <c r="F7" s="11" t="n">
        <f aca="false">-F6*Assumptions!F9</f>
        <v>-27000</v>
      </c>
    </row>
    <row r="8" customFormat="false" ht="15" hidden="false" customHeight="false" outlineLevel="0" collapsed="false">
      <c r="A8" s="4" t="s">
        <v>34</v>
      </c>
      <c r="B8" s="10" t="n">
        <f aca="false">B6+B7</f>
        <v>14250</v>
      </c>
      <c r="C8" s="10" t="n">
        <f aca="false">C6+C7</f>
        <v>49875</v>
      </c>
      <c r="D8" s="10" t="n">
        <f aca="false">D6+D7</f>
        <v>103500</v>
      </c>
      <c r="E8" s="10" t="n">
        <f aca="false">E6+E7</f>
        <v>179400</v>
      </c>
      <c r="F8" s="10" t="n">
        <f aca="false">F6+F7</f>
        <v>243000</v>
      </c>
    </row>
    <row r="9" customFormat="false" ht="15" hidden="false" customHeight="false" outlineLevel="0" collapsed="false">
      <c r="A9" s="4" t="s">
        <v>35</v>
      </c>
      <c r="B9" s="11" t="n">
        <f aca="false">(Assumptions!B12/2)*Assumptions!B13</f>
        <v>1875</v>
      </c>
      <c r="C9" s="11" t="n">
        <f aca="false">((Assumptions!B12+Assumptions!C12)/2)*Assumptions!C13</f>
        <v>5000</v>
      </c>
      <c r="D9" s="11" t="n">
        <f aca="false">((Assumptions!C12+Assumptions!D12)/2)*Assumptions!D13</f>
        <v>9375</v>
      </c>
      <c r="E9" s="11" t="n">
        <f aca="false">((Assumptions!D12+Assumptions!E12)/2)*Assumptions!E13</f>
        <v>15625</v>
      </c>
      <c r="F9" s="11" t="n">
        <f aca="false">((Assumptions!E12+Assumptions!F12)/2)*Assumptions!F13</f>
        <v>21875</v>
      </c>
    </row>
    <row r="10" customFormat="false" ht="15" hidden="false" customHeight="false" outlineLevel="0" collapsed="false">
      <c r="A10" s="4" t="s">
        <v>36</v>
      </c>
      <c r="B10" s="11" t="n">
        <f aca="false">-B9*Assumptions!B14</f>
        <v>-187.5</v>
      </c>
      <c r="C10" s="11" t="n">
        <f aca="false">-C9*Assumptions!C14</f>
        <v>-500</v>
      </c>
      <c r="D10" s="11" t="n">
        <f aca="false">-D9*Assumptions!D14</f>
        <v>-937.5</v>
      </c>
      <c r="E10" s="11" t="n">
        <f aca="false">-E9*Assumptions!E14</f>
        <v>-1562.5</v>
      </c>
      <c r="F10" s="11" t="n">
        <f aca="false">-F9*Assumptions!F14</f>
        <v>-2187.5</v>
      </c>
    </row>
    <row r="11" customFormat="false" ht="15" hidden="false" customHeight="false" outlineLevel="0" collapsed="false">
      <c r="A11" s="4" t="s">
        <v>37</v>
      </c>
      <c r="B11" s="10" t="n">
        <f aca="false">B9+B10</f>
        <v>1687.5</v>
      </c>
      <c r="C11" s="10" t="n">
        <f aca="false">C9+C10</f>
        <v>4500</v>
      </c>
      <c r="D11" s="10" t="n">
        <f aca="false">D9+D10</f>
        <v>8437.5</v>
      </c>
      <c r="E11" s="10" t="n">
        <f aca="false">E9+E10</f>
        <v>14062.5</v>
      </c>
      <c r="F11" s="10" t="n">
        <f aca="false">F9+F10</f>
        <v>19687.5</v>
      </c>
    </row>
    <row r="12" customFormat="false" ht="15" hidden="false" customHeight="false" outlineLevel="0" collapsed="false">
      <c r="A12" s="4" t="s">
        <v>38</v>
      </c>
      <c r="B12" s="12" t="n">
        <f aca="false">B8+B11</f>
        <v>15937.5</v>
      </c>
      <c r="C12" s="12" t="n">
        <f aca="false">C8+C11</f>
        <v>54375</v>
      </c>
      <c r="D12" s="12" t="n">
        <f aca="false">D8+D11</f>
        <v>111937.5</v>
      </c>
      <c r="E12" s="12" t="n">
        <f aca="false">E8+E11</f>
        <v>193462.5</v>
      </c>
      <c r="F12" s="12" t="n">
        <f aca="false">F8+F11</f>
        <v>262687.5</v>
      </c>
    </row>
    <row r="14" customFormat="false" ht="15" hidden="false" customHeight="false" outlineLevel="0" collapsed="false">
      <c r="A14" s="3" t="s">
        <v>39</v>
      </c>
    </row>
    <row r="15" customFormat="false" ht="15" hidden="false" customHeight="false" outlineLevel="0" collapsed="false">
      <c r="A15" s="4" t="s">
        <v>40</v>
      </c>
      <c r="B15" s="13" t="n">
        <f aca="false">Assumptions!B25*12</f>
        <v>852</v>
      </c>
      <c r="C15" s="13" t="n">
        <f aca="false">Assumptions!C25*12</f>
        <v>2292</v>
      </c>
      <c r="D15" s="13" t="n">
        <f aca="false">Assumptions!D25*12</f>
        <v>4992</v>
      </c>
      <c r="E15" s="13" t="n">
        <f aca="false">Assumptions!E25*12</f>
        <v>8052</v>
      </c>
      <c r="F15" s="13" t="n">
        <f aca="false">Assumptions!F25*12</f>
        <v>11052</v>
      </c>
    </row>
    <row r="16" customFormat="false" ht="15" hidden="false" customHeight="false" outlineLevel="0" collapsed="false">
      <c r="A16" s="4" t="s">
        <v>41</v>
      </c>
      <c r="B16" s="13" t="n">
        <f aca="false">Assumptions!B32</f>
        <v>0</v>
      </c>
      <c r="C16" s="13" t="n">
        <f aca="false">Assumptions!C32</f>
        <v>60000</v>
      </c>
      <c r="D16" s="13" t="n">
        <f aca="false">Assumptions!D32</f>
        <v>190000</v>
      </c>
      <c r="E16" s="13" t="n">
        <f aca="false">Assumptions!E32</f>
        <v>290000</v>
      </c>
      <c r="F16" s="13" t="n">
        <f aca="false">Assumptions!F32</f>
        <v>360000</v>
      </c>
    </row>
    <row r="17" customFormat="false" ht="15" hidden="false" customHeight="false" outlineLevel="0" collapsed="false">
      <c r="A17" s="4" t="s">
        <v>42</v>
      </c>
      <c r="B17" s="7" t="n">
        <v>500</v>
      </c>
      <c r="C17" s="7" t="n">
        <v>1200</v>
      </c>
      <c r="D17" s="7" t="n">
        <v>2400</v>
      </c>
      <c r="E17" s="7" t="n">
        <v>3600</v>
      </c>
      <c r="F17" s="7" t="n">
        <v>4800</v>
      </c>
    </row>
    <row r="18" customFormat="false" ht="15" hidden="false" customHeight="false" outlineLevel="0" collapsed="false">
      <c r="A18" s="4" t="s">
        <v>43</v>
      </c>
      <c r="B18" s="7" t="n">
        <v>2000</v>
      </c>
      <c r="C18" s="7" t="n">
        <v>3000</v>
      </c>
      <c r="D18" s="7" t="n">
        <v>5000</v>
      </c>
      <c r="E18" s="7" t="n">
        <v>8000</v>
      </c>
      <c r="F18" s="7" t="n">
        <v>10000</v>
      </c>
    </row>
    <row r="19" customFormat="false" ht="15" hidden="false" customHeight="false" outlineLevel="0" collapsed="false">
      <c r="A19" s="4" t="s">
        <v>44</v>
      </c>
      <c r="B19" s="7" t="n">
        <v>1000</v>
      </c>
      <c r="C19" s="7" t="n">
        <v>5000</v>
      </c>
      <c r="D19" s="7" t="n">
        <v>15000</v>
      </c>
      <c r="E19" s="7" t="n">
        <v>25000</v>
      </c>
      <c r="F19" s="7" t="n">
        <v>40000</v>
      </c>
    </row>
    <row r="20" customFormat="false" ht="15" hidden="false" customHeight="false" outlineLevel="0" collapsed="false">
      <c r="A20" s="4" t="s">
        <v>45</v>
      </c>
      <c r="B20" s="10" t="n">
        <f aca="false">SUM(B15:B19)</f>
        <v>4352</v>
      </c>
      <c r="C20" s="10" t="n">
        <f aca="false">SUM(C15:C19)</f>
        <v>71492</v>
      </c>
      <c r="D20" s="10" t="n">
        <f aca="false">SUM(D15:D19)</f>
        <v>217392</v>
      </c>
      <c r="E20" s="10" t="n">
        <f aca="false">SUM(E15:E19)</f>
        <v>334652</v>
      </c>
      <c r="F20" s="10" t="n">
        <f aca="false">SUM(F15:F19)</f>
        <v>425852</v>
      </c>
    </row>
    <row r="22" customFormat="false" ht="15" hidden="false" customHeight="false" outlineLevel="0" collapsed="false">
      <c r="A22" s="3" t="s">
        <v>46</v>
      </c>
    </row>
    <row r="23" customFormat="false" ht="15" hidden="false" customHeight="false" outlineLevel="0" collapsed="false">
      <c r="A23" s="4" t="s">
        <v>47</v>
      </c>
      <c r="B23" s="12" t="n">
        <f aca="false">B12-B20</f>
        <v>11585.5</v>
      </c>
      <c r="C23" s="12" t="n">
        <f aca="false">C12-C20</f>
        <v>-17117</v>
      </c>
      <c r="D23" s="12" t="n">
        <f aca="false">D12-D20</f>
        <v>-105454.5</v>
      </c>
      <c r="E23" s="12" t="n">
        <f aca="false">E12-E20</f>
        <v>-141189.5</v>
      </c>
      <c r="F23" s="12" t="n">
        <f aca="false">F12-F20</f>
        <v>-163164.5</v>
      </c>
    </row>
    <row r="24" customFormat="false" ht="15" hidden="false" customHeight="false" outlineLevel="0" collapsed="false">
      <c r="A24" s="4" t="s">
        <v>48</v>
      </c>
      <c r="B24" s="14" t="n">
        <f aca="false">IF(B12=0,0,B23/B12)</f>
        <v>0.726933333333333</v>
      </c>
      <c r="C24" s="14" t="n">
        <f aca="false">IF(C12=0,0,C23/C12)</f>
        <v>-0.314795402298851</v>
      </c>
      <c r="D24" s="14" t="n">
        <f aca="false">IF(D12=0,0,D23/D12)</f>
        <v>-0.942083752093802</v>
      </c>
      <c r="E24" s="14" t="n">
        <f aca="false">IF(E12=0,0,E23/E12)</f>
        <v>-0.729802933385023</v>
      </c>
      <c r="F24" s="14" t="n">
        <f aca="false">IF(F12=0,0,F23/F12)</f>
        <v>-0.62113537949084</v>
      </c>
    </row>
    <row r="25" customFormat="false" ht="15" hidden="false" customHeight="false" outlineLevel="0" collapsed="false">
      <c r="A25" s="4"/>
    </row>
    <row r="26" customFormat="false" ht="15" hidden="false" customHeight="false" outlineLevel="0" collapsed="false">
      <c r="A26" s="4" t="s">
        <v>49</v>
      </c>
      <c r="B26" s="11" t="n">
        <f aca="false">B23</f>
        <v>11585.5</v>
      </c>
      <c r="C26" s="11" t="n">
        <f aca="false">B26+C23</f>
        <v>-5531.5</v>
      </c>
      <c r="D26" s="11" t="n">
        <f aca="false">C26+D23</f>
        <v>-110986</v>
      </c>
      <c r="E26" s="11" t="n">
        <f aca="false">D26+E23</f>
        <v>-252175.5</v>
      </c>
      <c r="F26" s="11" t="n">
        <f aca="false">E26+F23</f>
        <v>-415340</v>
      </c>
    </row>
    <row r="28" customFormat="false" ht="15" hidden="false" customHeight="false" outlineLevel="0" collapsed="false">
      <c r="A28" s="3" t="s">
        <v>50</v>
      </c>
    </row>
    <row r="29" customFormat="false" ht="15" hidden="false" customHeight="false" outlineLevel="0" collapsed="false">
      <c r="A29" s="4" t="s">
        <v>51</v>
      </c>
      <c r="B29" s="11" t="n">
        <f aca="false">IF(Assumptions!B6=0,0,B12/Assumptions!B6)</f>
        <v>318.75</v>
      </c>
      <c r="C29" s="11" t="n">
        <f aca="false">IF(Assumptions!C6=0,0,C12/Assumptions!C6)</f>
        <v>435</v>
      </c>
      <c r="D29" s="11" t="n">
        <f aca="false">IF(Assumptions!D6=0,0,D12/Assumptions!D6)</f>
        <v>447.75</v>
      </c>
      <c r="E29" s="11" t="n">
        <f aca="false">IF(Assumptions!E6=0,0,E12/Assumptions!E6)</f>
        <v>483.65625</v>
      </c>
      <c r="F29" s="11" t="n">
        <f aca="false">IF(Assumptions!F6=0,0,F12/Assumptions!F6)</f>
        <v>525.375</v>
      </c>
    </row>
    <row r="30" customFormat="false" ht="15" hidden="false" customHeight="false" outlineLevel="0" collapsed="false">
      <c r="A30" s="4" t="s">
        <v>52</v>
      </c>
      <c r="B30" s="11" t="n">
        <f aca="false">IF(Assumptions!B6=0,0,B20/Assumptions!B6)</f>
        <v>87.04</v>
      </c>
      <c r="C30" s="11" t="n">
        <f aca="false">IF(Assumptions!C6=0,0,C20/Assumptions!C6)</f>
        <v>571.936</v>
      </c>
      <c r="D30" s="11" t="n">
        <f aca="false">IF(Assumptions!D6=0,0,D20/Assumptions!D6)</f>
        <v>869.568</v>
      </c>
      <c r="E30" s="11" t="n">
        <f aca="false">IF(Assumptions!E6=0,0,E20/Assumptions!E6)</f>
        <v>836.63</v>
      </c>
      <c r="F30" s="11" t="n">
        <f aca="false">IF(Assumptions!F6=0,0,F20/Assumptions!F6)</f>
        <v>851.704</v>
      </c>
    </row>
    <row r="31" customFormat="false" ht="15" hidden="false" customHeight="false" outlineLevel="0" collapsed="false">
      <c r="A31" s="4" t="s">
        <v>53</v>
      </c>
      <c r="B31" s="11" t="n">
        <f aca="false">B29*3</f>
        <v>956.25</v>
      </c>
      <c r="C31" s="11" t="n">
        <f aca="false">C29*3</f>
        <v>1305</v>
      </c>
      <c r="D31" s="11" t="n">
        <f aca="false">D29*3</f>
        <v>1343.25</v>
      </c>
      <c r="E31" s="11" t="n">
        <f aca="false">E29*3</f>
        <v>1450.96875</v>
      </c>
      <c r="F31" s="11" t="n">
        <f aca="false">F29*3</f>
        <v>1576.125</v>
      </c>
    </row>
    <row r="32" customFormat="false" ht="15" hidden="false" customHeight="false" outlineLevel="0" collapsed="false">
      <c r="A32" s="4" t="s">
        <v>54</v>
      </c>
      <c r="B32" s="11" t="n">
        <f aca="false">IF(Assumptions!B7=0,0,B19/Assumptions!B7)</f>
        <v>20</v>
      </c>
      <c r="C32" s="11" t="n">
        <f aca="false">IF(Assumptions!C7=0,0,C19/Assumptions!C7)</f>
        <v>66.6666666666667</v>
      </c>
      <c r="D32" s="11" t="n">
        <f aca="false">IF(Assumptions!D7=0,0,D19/Assumptions!D7)</f>
        <v>120</v>
      </c>
      <c r="E32" s="11" t="n">
        <f aca="false">IF(Assumptions!E7=0,0,E19/Assumptions!E7)</f>
        <v>166.666666666667</v>
      </c>
      <c r="F32" s="11" t="n">
        <f aca="false">IF(Assumptions!F7=0,0,F19/Assumptions!F7)</f>
        <v>400</v>
      </c>
    </row>
    <row r="33" customFormat="false" ht="15" hidden="false" customHeight="false" outlineLevel="0" collapsed="false">
      <c r="A33" s="4" t="s">
        <v>55</v>
      </c>
      <c r="B33" s="15" t="n">
        <f aca="false">IF(B32=0,0,B31/B32)</f>
        <v>47.8125</v>
      </c>
      <c r="C33" s="15" t="n">
        <f aca="false">IF(C32=0,0,C31/C32)</f>
        <v>19.575</v>
      </c>
      <c r="D33" s="15" t="n">
        <f aca="false">IF(D32=0,0,D31/D32)</f>
        <v>11.19375</v>
      </c>
      <c r="E33" s="15" t="n">
        <f aca="false">IF(E32=0,0,E31/E32)</f>
        <v>8.7058125</v>
      </c>
      <c r="F33" s="15" t="n">
        <f aca="false">IF(F32=0,0,F31/F32)</f>
        <v>3.9403125</v>
      </c>
    </row>
    <row r="34" customFormat="false" ht="15" hidden="false" customHeight="false" outlineLevel="0" collapsed="false">
      <c r="A34" s="4" t="s">
        <v>56</v>
      </c>
      <c r="B34" s="11" t="n">
        <f aca="false">IF(B23&lt;0,-B23/12,0)</f>
        <v>0</v>
      </c>
      <c r="C34" s="11" t="n">
        <f aca="false">IF(C23&lt;0,-C23/12,0)</f>
        <v>1426.41666666667</v>
      </c>
      <c r="D34" s="11" t="n">
        <f aca="false">IF(D23&lt;0,-D23/12,0)</f>
        <v>8787.875</v>
      </c>
      <c r="E34" s="11" t="n">
        <f aca="false">IF(E23&lt;0,-E23/12,0)</f>
        <v>11765.7916666667</v>
      </c>
      <c r="F34" s="11" t="n">
        <f aca="false">IF(F23&lt;0,-F23/12,0)</f>
        <v>13597.0416666667</v>
      </c>
    </row>
    <row r="35" customFormat="false" ht="15" hidden="false" customHeight="false" outlineLevel="0" collapsed="false">
      <c r="A35" s="4" t="s">
        <v>57</v>
      </c>
      <c r="B35" s="4" t="str">
        <f aca="false">IF(B34=0,"Profitable","-")</f>
        <v>Profitable</v>
      </c>
      <c r="C35" s="4" t="str">
        <f aca="false">IF(C34=0,"Profitable","-")</f>
        <v>-</v>
      </c>
      <c r="D35" s="4" t="str">
        <f aca="false">IF(D34=0,"Profitable","-")</f>
        <v>-</v>
      </c>
      <c r="E35" s="4" t="str">
        <f aca="false">IF(E34=0,"Profitable","-")</f>
        <v>-</v>
      </c>
      <c r="F35" s="4" t="str">
        <f aca="false">IF(F34=0,"Profitable","-")</f>
        <v>-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58</v>
      </c>
      <c r="B1" s="1"/>
      <c r="C1" s="1"/>
    </row>
    <row r="3" customFormat="false" ht="15" hidden="false" customHeight="false" outlineLevel="0" collapsed="false">
      <c r="A3" s="2" t="s">
        <v>59</v>
      </c>
      <c r="B3" s="2" t="s">
        <v>60</v>
      </c>
      <c r="C3" s="2" t="s">
        <v>61</v>
      </c>
    </row>
    <row r="5" customFormat="false" ht="15" hidden="false" customHeight="false" outlineLevel="0" collapsed="false">
      <c r="A5" s="3" t="s">
        <v>31</v>
      </c>
    </row>
    <row r="6" customFormat="false" ht="15" hidden="false" customHeight="false" outlineLevel="0" collapsed="false">
      <c r="A6" s="4" t="s">
        <v>62</v>
      </c>
      <c r="B6" s="5" t="n">
        <v>500</v>
      </c>
    </row>
    <row r="7" customFormat="false" ht="15" hidden="false" customHeight="false" outlineLevel="0" collapsed="false">
      <c r="A7" s="4" t="s">
        <v>63</v>
      </c>
      <c r="B7" s="7" t="n">
        <v>50</v>
      </c>
    </row>
    <row r="8" customFormat="false" ht="15" hidden="false" customHeight="false" outlineLevel="0" collapsed="false">
      <c r="A8" s="4" t="s">
        <v>64</v>
      </c>
      <c r="B8" s="11" t="n">
        <f aca="false">B6*B7</f>
        <v>25000</v>
      </c>
      <c r="C8" s="11" t="n">
        <f aca="false">B8*12</f>
        <v>300000</v>
      </c>
    </row>
    <row r="9" customFormat="false" ht="15" hidden="false" customHeight="false" outlineLevel="0" collapsed="false">
      <c r="A9" s="4" t="s">
        <v>65</v>
      </c>
      <c r="B9" s="5" t="n">
        <v>100</v>
      </c>
    </row>
    <row r="10" customFormat="false" ht="15" hidden="false" customHeight="false" outlineLevel="0" collapsed="false">
      <c r="A10" s="4" t="s">
        <v>66</v>
      </c>
      <c r="B10" s="7" t="n">
        <v>250</v>
      </c>
    </row>
    <row r="11" customFormat="false" ht="15" hidden="false" customHeight="false" outlineLevel="0" collapsed="false">
      <c r="A11" s="4" t="s">
        <v>67</v>
      </c>
      <c r="B11" s="11" t="n">
        <f aca="false">B9*B10/12</f>
        <v>2083.33333333333</v>
      </c>
      <c r="C11" s="11" t="n">
        <f aca="false">B11*12</f>
        <v>25000</v>
      </c>
    </row>
    <row r="12" customFormat="false" ht="15" hidden="false" customHeight="false" outlineLevel="0" collapsed="false">
      <c r="A12" s="4" t="s">
        <v>68</v>
      </c>
      <c r="B12" s="12" t="n">
        <f aca="false">B8+B11</f>
        <v>27083.3333333333</v>
      </c>
      <c r="C12" s="12" t="n">
        <f aca="false">B12*12</f>
        <v>325000</v>
      </c>
    </row>
    <row r="13" customFormat="false" ht="15" hidden="false" customHeight="false" outlineLevel="0" collapsed="false">
      <c r="A13" s="4" t="s">
        <v>69</v>
      </c>
      <c r="C13" s="12" t="n">
        <f aca="false">C12</f>
        <v>325000</v>
      </c>
    </row>
    <row r="15" customFormat="false" ht="15" hidden="false" customHeight="false" outlineLevel="0" collapsed="false">
      <c r="A15" s="3" t="s">
        <v>70</v>
      </c>
    </row>
    <row r="16" customFormat="false" ht="15" hidden="false" customHeight="false" outlineLevel="0" collapsed="false">
      <c r="A16" s="4" t="s">
        <v>71</v>
      </c>
      <c r="B16" s="7" t="n">
        <v>200</v>
      </c>
      <c r="C16" s="11" t="n">
        <f aca="false">B16*12</f>
        <v>2400</v>
      </c>
    </row>
    <row r="17" customFormat="false" ht="15" hidden="false" customHeight="false" outlineLevel="0" collapsed="false">
      <c r="A17" s="4" t="s">
        <v>17</v>
      </c>
      <c r="B17" s="7" t="n">
        <v>100</v>
      </c>
      <c r="C17" s="11" t="n">
        <f aca="false">B17*12</f>
        <v>1200</v>
      </c>
    </row>
    <row r="18" customFormat="false" ht="15" hidden="false" customHeight="false" outlineLevel="0" collapsed="false">
      <c r="A18" s="4" t="s">
        <v>72</v>
      </c>
      <c r="B18" s="7" t="n">
        <v>40</v>
      </c>
      <c r="C18" s="11" t="n">
        <f aca="false">B18*12</f>
        <v>480</v>
      </c>
    </row>
    <row r="19" customFormat="false" ht="15" hidden="false" customHeight="false" outlineLevel="0" collapsed="false">
      <c r="A19" s="4" t="s">
        <v>73</v>
      </c>
      <c r="B19" s="7" t="n">
        <v>500</v>
      </c>
      <c r="C19" s="11" t="n">
        <f aca="false">B19*12</f>
        <v>6000</v>
      </c>
    </row>
    <row r="20" customFormat="false" ht="15" hidden="false" customHeight="false" outlineLevel="0" collapsed="false">
      <c r="A20" s="4" t="s">
        <v>20</v>
      </c>
      <c r="B20" s="7" t="n">
        <v>30</v>
      </c>
      <c r="C20" s="11" t="n">
        <f aca="false">B20*12</f>
        <v>360</v>
      </c>
    </row>
    <row r="21" customFormat="false" ht="15" hidden="false" customHeight="false" outlineLevel="0" collapsed="false">
      <c r="A21" s="4" t="s">
        <v>21</v>
      </c>
      <c r="B21" s="7" t="n">
        <v>1</v>
      </c>
      <c r="C21" s="11" t="n">
        <f aca="false">B21*12</f>
        <v>12</v>
      </c>
    </row>
    <row r="22" customFormat="false" ht="15" hidden="false" customHeight="false" outlineLevel="0" collapsed="false">
      <c r="A22" s="4" t="s">
        <v>74</v>
      </c>
      <c r="B22" s="7" t="n">
        <v>50</v>
      </c>
      <c r="C22" s="11" t="n">
        <f aca="false">B22*12</f>
        <v>600</v>
      </c>
    </row>
    <row r="23" customFormat="false" ht="15" hidden="false" customHeight="false" outlineLevel="0" collapsed="false">
      <c r="A23" s="4" t="s">
        <v>75</v>
      </c>
      <c r="B23" s="10" t="n">
        <f aca="false">SUM(B16:B22)</f>
        <v>921</v>
      </c>
      <c r="C23" s="10" t="n">
        <f aca="false">B23*12</f>
        <v>11052</v>
      </c>
    </row>
    <row r="25" customFormat="false" ht="15" hidden="false" customHeight="false" outlineLevel="0" collapsed="false">
      <c r="A25" s="3" t="s">
        <v>76</v>
      </c>
    </row>
    <row r="26" customFormat="false" ht="15" hidden="false" customHeight="false" outlineLevel="0" collapsed="false">
      <c r="A26" s="4" t="s">
        <v>77</v>
      </c>
      <c r="B26" s="11" t="n">
        <f aca="false">C26/12</f>
        <v>10000</v>
      </c>
      <c r="C26" s="7" t="n">
        <v>120000</v>
      </c>
    </row>
    <row r="27" customFormat="false" ht="15" hidden="false" customHeight="false" outlineLevel="0" collapsed="false">
      <c r="A27" s="4" t="s">
        <v>78</v>
      </c>
      <c r="B27" s="11" t="n">
        <f aca="false">C27/12</f>
        <v>8333.33333333333</v>
      </c>
      <c r="C27" s="7" t="n">
        <v>100000</v>
      </c>
    </row>
    <row r="28" customFormat="false" ht="15" hidden="false" customHeight="false" outlineLevel="0" collapsed="false">
      <c r="A28" s="4" t="s">
        <v>79</v>
      </c>
      <c r="B28" s="11" t="n">
        <f aca="false">C28/12</f>
        <v>7083.33333333333</v>
      </c>
      <c r="C28" s="7" t="n">
        <v>85000</v>
      </c>
    </row>
    <row r="29" customFormat="false" ht="15" hidden="false" customHeight="false" outlineLevel="0" collapsed="false">
      <c r="A29" s="4" t="s">
        <v>28</v>
      </c>
      <c r="B29" s="11" t="n">
        <f aca="false">C29/12</f>
        <v>4583.33333333333</v>
      </c>
      <c r="C29" s="7" t="n">
        <v>55000</v>
      </c>
    </row>
    <row r="30" customFormat="false" ht="15" hidden="false" customHeight="false" outlineLevel="0" collapsed="false">
      <c r="A30" s="4" t="s">
        <v>80</v>
      </c>
      <c r="B30" s="10" t="n">
        <f aca="false">C30/12</f>
        <v>30000</v>
      </c>
      <c r="C30" s="10" t="n">
        <f aca="false">SUM(C26:C29)</f>
        <v>360000</v>
      </c>
    </row>
    <row r="32" customFormat="false" ht="15" hidden="false" customHeight="false" outlineLevel="0" collapsed="false">
      <c r="A32" s="3" t="s">
        <v>81</v>
      </c>
    </row>
    <row r="33" customFormat="false" ht="15" hidden="false" customHeight="false" outlineLevel="0" collapsed="false">
      <c r="A33" s="4" t="s">
        <v>42</v>
      </c>
      <c r="B33" s="11" t="n">
        <f aca="false">C33/12</f>
        <v>400</v>
      </c>
      <c r="C33" s="7" t="n">
        <v>4800</v>
      </c>
    </row>
    <row r="34" customFormat="false" ht="15" hidden="false" customHeight="false" outlineLevel="0" collapsed="false">
      <c r="A34" s="4" t="s">
        <v>43</v>
      </c>
      <c r="B34" s="11" t="n">
        <f aca="false">C34/12</f>
        <v>833.333333333333</v>
      </c>
      <c r="C34" s="7" t="n">
        <v>10000</v>
      </c>
    </row>
    <row r="35" customFormat="false" ht="15" hidden="false" customHeight="false" outlineLevel="0" collapsed="false">
      <c r="A35" s="4" t="s">
        <v>44</v>
      </c>
      <c r="B35" s="11" t="n">
        <f aca="false">C35/12</f>
        <v>3333.33333333333</v>
      </c>
      <c r="C35" s="7" t="n">
        <v>40000</v>
      </c>
    </row>
    <row r="36" customFormat="false" ht="15" hidden="false" customHeight="false" outlineLevel="0" collapsed="false">
      <c r="A36" s="4" t="s">
        <v>82</v>
      </c>
      <c r="B36" s="10" t="n">
        <f aca="false">C36/12</f>
        <v>4566.66666666667</v>
      </c>
      <c r="C36" s="10" t="n">
        <f aca="false">SUM(C33:C35)</f>
        <v>54800</v>
      </c>
    </row>
    <row r="38" customFormat="false" ht="15" hidden="false" customHeight="false" outlineLevel="0" collapsed="false">
      <c r="A38" s="3" t="s">
        <v>83</v>
      </c>
    </row>
    <row r="39" customFormat="false" ht="15" hidden="false" customHeight="false" outlineLevel="0" collapsed="false">
      <c r="A39" s="4" t="s">
        <v>38</v>
      </c>
      <c r="B39" s="10" t="n">
        <f aca="false">B12</f>
        <v>27083.3333333333</v>
      </c>
      <c r="C39" s="10" t="n">
        <f aca="false">C13</f>
        <v>325000</v>
      </c>
    </row>
    <row r="40" customFormat="false" ht="15" hidden="false" customHeight="false" outlineLevel="0" collapsed="false">
      <c r="A40" s="4" t="s">
        <v>45</v>
      </c>
      <c r="B40" s="10" t="n">
        <f aca="false">B23+B30+B36</f>
        <v>35487.6666666667</v>
      </c>
      <c r="C40" s="10" t="n">
        <f aca="false">C23+C30+C36</f>
        <v>425852</v>
      </c>
    </row>
    <row r="41" customFormat="false" ht="15" hidden="false" customHeight="false" outlineLevel="0" collapsed="false">
      <c r="A41" s="4" t="s">
        <v>84</v>
      </c>
      <c r="B41" s="12" t="n">
        <f aca="false">B39-B40</f>
        <v>-8404.33333333333</v>
      </c>
      <c r="C41" s="12" t="n">
        <f aca="false">C39-C40</f>
        <v>-100852</v>
      </c>
    </row>
    <row r="42" customFormat="false" ht="15" hidden="false" customHeight="false" outlineLevel="0" collapsed="false">
      <c r="A42" s="4" t="s">
        <v>85</v>
      </c>
      <c r="B42" s="14" t="n">
        <f aca="false">IF(B39=0,0,B41/B39)</f>
        <v>-0.310313846153846</v>
      </c>
      <c r="C42" s="14" t="n">
        <f aca="false">IF(C39=0,0,C41/C39)</f>
        <v>-0.310313846153846</v>
      </c>
    </row>
    <row r="43" customFormat="false" ht="15" hidden="false" customHeight="false" outlineLevel="0" collapsed="false">
      <c r="A43" s="4"/>
    </row>
    <row r="44" customFormat="false" ht="15" hidden="false" customHeight="false" outlineLevel="0" collapsed="false">
      <c r="A44" s="4" t="s">
        <v>86</v>
      </c>
      <c r="B44" s="16" t="n">
        <f aca="false">B23/B6</f>
        <v>1.842</v>
      </c>
      <c r="C44" s="16" t="n">
        <f aca="false">C23/B6</f>
        <v>22.104</v>
      </c>
    </row>
    <row r="45" customFormat="false" ht="15" hidden="false" customHeight="false" outlineLevel="0" collapsed="false">
      <c r="A45" s="4" t="s">
        <v>87</v>
      </c>
      <c r="B45" s="16" t="n">
        <f aca="false">B40/B6</f>
        <v>70.9753333333333</v>
      </c>
      <c r="C45" s="16" t="n">
        <f aca="false">C40/B6</f>
        <v>851.704</v>
      </c>
    </row>
    <row r="46" customFormat="false" ht="15" hidden="false" customHeight="false" outlineLevel="0" collapsed="false">
      <c r="A46" s="4" t="s">
        <v>88</v>
      </c>
      <c r="B46" s="16" t="n">
        <f aca="false">B12/B6</f>
        <v>54.1666666666667</v>
      </c>
      <c r="C46" s="16" t="n">
        <f aca="false">C13/B6</f>
        <v>650</v>
      </c>
    </row>
    <row r="47" customFormat="false" ht="15" hidden="false" customHeight="false" outlineLevel="0" collapsed="false">
      <c r="A47" s="4" t="s">
        <v>89</v>
      </c>
      <c r="B47" s="16" t="n">
        <f aca="false">B41/B6</f>
        <v>-16.8086666666667</v>
      </c>
      <c r="C47" s="16" t="n">
        <f aca="false">C41/B6</f>
        <v>-201.704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2026-02-23T19:34:49Z</dcterms:created>
  <dc:creator>openpyxl</dc:creator>
  <dc:description/>
  <dc:language>en-US</dc:language>
  <cp:lastModifiedBy/>
  <dcterms:modified xsi:type="dcterms:W3CDTF">2026-02-23T19:34:49Z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